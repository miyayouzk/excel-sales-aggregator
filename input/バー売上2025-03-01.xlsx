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wah\OneDrive\Desktop\web\python_project\portfolio\複数Excelをまとめる\input\"/>
    </mc:Choice>
  </mc:AlternateContent>
  <xr:revisionPtr revIDLastSave="0" documentId="13_ncr:1_{4557B790-79EF-4AC8-BB85-C448FC5FA8E9}" xr6:coauthVersionLast="47" xr6:coauthVersionMax="47" xr10:uidLastSave="{00000000-0000-0000-0000-000000000000}"/>
  <bookViews>
    <workbookView xWindow="780" yWindow="780" windowWidth="20280" windowHeight="12435" xr2:uid="{E9C1E5A6-889F-4E1B-A639-4CAEB6EEE7A7}"/>
  </bookViews>
  <sheets>
    <sheet name="売上" sheetId="1" r:id="rId1"/>
    <sheet name="料金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F3" i="1" s="1"/>
  <c r="E4" i="1" a="1"/>
  <c r="E4" i="1" s="1"/>
  <c r="F4" i="1" s="1"/>
  <c r="E5" i="1" a="1"/>
  <c r="E5" i="1" s="1"/>
  <c r="F5" i="1" s="1"/>
  <c r="E6" i="1" a="1"/>
  <c r="E6" i="1" s="1"/>
  <c r="F6" i="1" s="1"/>
  <c r="E7" i="1" a="1"/>
  <c r="E7" i="1" s="1"/>
  <c r="F7" i="1" s="1"/>
  <c r="E8" i="1" a="1"/>
  <c r="E8" i="1" s="1"/>
  <c r="F8" i="1" s="1"/>
  <c r="E2" i="1" a="1"/>
  <c r="E2" i="1" s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<sst xmlns="http://schemas.openxmlformats.org/spreadsheetml/2006/main" count="27" uniqueCount="18">
  <si>
    <t>日付</t>
  </si>
  <si>
    <t>担当者</t>
  </si>
  <si>
    <t>商品名</t>
  </si>
  <si>
    <t>数量</t>
  </si>
  <si>
    <t>佐藤</t>
  </si>
  <si>
    <t>鈴木</t>
  </si>
  <si>
    <t>ウイスキー</t>
    <phoneticPr fontId="2"/>
  </si>
  <si>
    <t>ハイボール</t>
    <phoneticPr fontId="2"/>
  </si>
  <si>
    <t>ビール</t>
    <phoneticPr fontId="2"/>
  </si>
  <si>
    <t>単価</t>
    <rPh sb="0" eb="2">
      <t>タンカ</t>
    </rPh>
    <phoneticPr fontId="2"/>
  </si>
  <si>
    <t>合計金額</t>
    <rPh sb="0" eb="4">
      <t>ゴウケイキンガク</t>
    </rPh>
    <phoneticPr fontId="2"/>
  </si>
  <si>
    <t>カクテル</t>
    <phoneticPr fontId="2"/>
  </si>
  <si>
    <t>ショット</t>
    <phoneticPr fontId="2"/>
  </si>
  <si>
    <t>ドリンク名</t>
    <rPh sb="4" eb="5">
      <t>メイ</t>
    </rPh>
    <phoneticPr fontId="2"/>
  </si>
  <si>
    <t>ビール</t>
  </si>
  <si>
    <t>ハイボール</t>
  </si>
  <si>
    <t>カクテル</t>
  </si>
  <si>
    <t>ウイスキー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</si>
</sst>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>
      <alignment vertical="center"/>
    </xf>
    <xf numFmtId="176" fontId="0" fillId="0" borderId="0" xfId="0" applyNumberFormat="1" applyAlignment="1">
      <alignment vertical="center" wrapText="1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50B4-E56C-4788-A668-59A72924D3AE}">
  <dimension ref="A1:F8"/>
  <sheetViews>
    <sheetView tabSelected="1" workbookViewId="0">
      <selection activeCell="H14" sqref="H14"/>
    </sheetView>
  </sheetViews>
  <sheetFormatPr defaultRowHeight="18.75" x14ac:dyDescent="0.4"/>
  <cols>
    <col min="1" max="1" width="9.25" bestFit="1" customWidth="1"/>
    <col min="2" max="2" width="7.375" bestFit="1" customWidth="1"/>
    <col min="3" max="3" width="11" bestFit="1" customWidth="1"/>
    <col min="4" max="4" width="5.5" bestFit="1" customWidth="1"/>
    <col min="5" max="5" width="6.375" bestFit="1" customWidth="1"/>
    <col min="6" max="6" width="9.25" bestFit="1" customWidth="1"/>
  </cols>
  <sheetData>
    <row r="1" spans="1:6" s="4" customForma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9</v>
      </c>
      <c r="F1" s="3" t="s">
        <v>10</v>
      </c>
    </row>
    <row r="2" spans="1:6" x14ac:dyDescent="0.4">
      <c r="A2" s="1">
        <v>45717</v>
      </c>
      <c r="B2" s="2" t="s">
        <v>4</v>
      </c>
      <c r="C2" s="2" t="s">
        <v>14</v>
      </c>
      <c r="D2" s="2">
        <v>2</v>
      </c>
      <c r="E2" s="5" cm="1">
        <f t="array" ref="E2">_xlfn.IFS(売上!C2=料金表!$A$2, 料金表!$B$2, 売上!C2=料金表!$A$3, 料金表!$B$3, 売上!C2=料金表!$A$4, 料金表!$B$4, 売上!C2=料金表!$A$5, 料金表!$B$5, 売上!C2=料金表!$A$6, 料金表!$B$6)</f>
        <v>900</v>
      </c>
      <c r="F2" s="6">
        <f>D2*E2</f>
        <v>1800</v>
      </c>
    </row>
    <row r="3" spans="1:6" x14ac:dyDescent="0.4">
      <c r="A3" s="1">
        <v>45717</v>
      </c>
      <c r="B3" s="2" t="s">
        <v>5</v>
      </c>
      <c r="C3" s="2" t="s">
        <v>15</v>
      </c>
      <c r="D3" s="2">
        <v>1</v>
      </c>
      <c r="E3" s="5" cm="1">
        <f t="array" ref="E3">_xlfn.IFS(売上!C3=料金表!$A$2, 料金表!$B$2, 売上!C3=料金表!$A$3, 料金表!$B$3, 売上!C3=料金表!$A$4, 料金表!$B$4, 売上!C3=料金表!$A$5, 料金表!$B$5, 売上!C3=料金表!$A$6, 料金表!$B$6)</f>
        <v>800</v>
      </c>
      <c r="F3" s="6">
        <f t="shared" ref="F3:F8" si="0">D3*E3</f>
        <v>800</v>
      </c>
    </row>
    <row r="4" spans="1:6" x14ac:dyDescent="0.4">
      <c r="A4" s="1">
        <v>45717</v>
      </c>
      <c r="B4" s="2" t="s">
        <v>4</v>
      </c>
      <c r="C4" s="2" t="s">
        <v>16</v>
      </c>
      <c r="D4" s="2">
        <v>2</v>
      </c>
      <c r="E4" s="5" cm="1">
        <f t="array" ref="E4">_xlfn.IFS(売上!C4=料金表!$A$2, 料金表!$B$2, 売上!C4=料金表!$A$3, 料金表!$B$3, 売上!C4=料金表!$A$4, 料金表!$B$4, 売上!C4=料金表!$A$5, 料金表!$B$5, 売上!C4=料金表!$A$6, 料金表!$B$6)</f>
        <v>800</v>
      </c>
      <c r="F4" s="6">
        <f t="shared" si="0"/>
        <v>1600</v>
      </c>
    </row>
    <row r="5" spans="1:6" x14ac:dyDescent="0.4">
      <c r="A5" s="1">
        <v>45717</v>
      </c>
      <c r="B5" s="2" t="s">
        <v>4</v>
      </c>
      <c r="C5" s="2" t="s">
        <v>17</v>
      </c>
      <c r="D5" s="2">
        <v>1</v>
      </c>
      <c r="E5" s="5" cm="1">
        <f t="array" ref="E5">_xlfn.IFS(売上!C5=料金表!$A$2, 料金表!$B$2, 売上!C5=料金表!$A$3, 料金表!$B$3, 売上!C5=料金表!$A$4, 料金表!$B$4, 売上!C5=料金表!$A$5, 料金表!$B$5, 売上!C5=料金表!$A$6, 料金表!$B$6)</f>
        <v>800</v>
      </c>
      <c r="F5" s="6">
        <f t="shared" si="0"/>
        <v>800</v>
      </c>
    </row>
    <row r="6" spans="1:6" x14ac:dyDescent="0.4">
      <c r="A6" s="1">
        <v>45717</v>
      </c>
      <c r="B6" s="2" t="s">
        <v>5</v>
      </c>
      <c r="C6" s="2" t="s">
        <v>14</v>
      </c>
      <c r="D6" s="2">
        <v>3</v>
      </c>
      <c r="E6" s="5" cm="1">
        <f t="array" ref="E6">_xlfn.IFS(売上!C6=料金表!$A$2, 料金表!$B$2, 売上!C6=料金表!$A$3, 料金表!$B$3, 売上!C6=料金表!$A$4, 料金表!$B$4, 売上!C6=料金表!$A$5, 料金表!$B$5, 売上!C6=料金表!$A$6, 料金表!$B$6)</f>
        <v>900</v>
      </c>
      <c r="F6" s="6">
        <f t="shared" si="0"/>
        <v>2700</v>
      </c>
    </row>
    <row r="7" spans="1:6" x14ac:dyDescent="0.4">
      <c r="A7" s="1">
        <v>45717</v>
      </c>
      <c r="B7" s="2" t="s">
        <v>4</v>
      </c>
      <c r="C7" s="2" t="s">
        <v>15</v>
      </c>
      <c r="D7" s="2">
        <v>2</v>
      </c>
      <c r="E7" s="5" cm="1">
        <f t="array" ref="E7">_xlfn.IFS(売上!C7=料金表!$A$2, 料金表!$B$2, 売上!C7=料金表!$A$3, 料金表!$B$3, 売上!C7=料金表!$A$4, 料金表!$B$4, 売上!C7=料金表!$A$5, 料金表!$B$5, 売上!C7=料金表!$A$6, 料金表!$B$6)</f>
        <v>800</v>
      </c>
      <c r="F7" s="6">
        <f t="shared" si="0"/>
        <v>1600</v>
      </c>
    </row>
    <row r="8" spans="1:6" x14ac:dyDescent="0.4">
      <c r="A8" s="1">
        <v>45717</v>
      </c>
      <c r="B8" s="2" t="s">
        <v>5</v>
      </c>
      <c r="C8" s="2" t="s">
        <v>16</v>
      </c>
      <c r="D8" s="2">
        <v>2</v>
      </c>
      <c r="E8" s="5" cm="1">
        <f t="array" ref="E8">_xlfn.IFS(売上!C8=料金表!$A$2, 料金表!$B$2, 売上!C8=料金表!$A$3, 料金表!$B$3, 売上!C8=料金表!$A$4, 料金表!$B$4, 売上!C8=料金表!$A$5, 料金表!$B$5, 売上!C8=料金表!$A$6, 料金表!$B$6)</f>
        <v>800</v>
      </c>
      <c r="F8" s="6">
        <f t="shared" si="0"/>
        <v>1600</v>
      </c>
    </row>
  </sheetData>
  <phoneticPr fontId="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96F1F7-57F5-4226-9FAA-F2B0D82A296F}">
          <x14:formula1>
            <xm:f>料金表!$A$2:$A$6</xm:f>
          </x14:formula1>
          <xm:sqref>C2:C8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D401-36A9-48A7-8057-24BAF969149F}">
  <dimension ref="A1:B6"/>
  <sheetViews>
    <sheetView workbookViewId="0">
      <selection activeCell="D9" sqref="D9"/>
    </sheetView>
  </sheetViews>
  <sheetFormatPr defaultRowHeight="18.75" x14ac:dyDescent="0.4"/>
  <cols>
    <col min="1" max="1" width="11" bestFit="1" customWidth="1"/>
  </cols>
  <sheetData>
    <row r="1" spans="1:2" x14ac:dyDescent="0.4">
      <c r="A1" s="7" t="s">
        <v>13</v>
      </c>
      <c r="B1" s="7" t="s">
        <v>9</v>
      </c>
    </row>
    <row r="2" spans="1:2" x14ac:dyDescent="0.4">
      <c r="A2" t="s">
        <v>8</v>
      </c>
      <c r="B2">
        <v>900</v>
      </c>
    </row>
    <row r="3" spans="1:2" x14ac:dyDescent="0.4">
      <c r="A3" t="s">
        <v>11</v>
      </c>
      <c r="B3">
        <v>800</v>
      </c>
    </row>
    <row r="4" spans="1:2" x14ac:dyDescent="0.4">
      <c r="A4" t="s">
        <v>7</v>
      </c>
      <c r="B4">
        <v>800</v>
      </c>
    </row>
    <row r="5" spans="1:2" x14ac:dyDescent="0.4">
      <c r="A5" t="s">
        <v>12</v>
      </c>
      <c r="B5">
        <v>500</v>
      </c>
    </row>
    <row r="6" spans="1:2" x14ac:dyDescent="0.4">
      <c r="A6" t="s">
        <v>6</v>
      </c>
      <c r="B6">
        <v>800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売上</vt:lpstr>
      <vt:lpstr>料金表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ユウザキ ユウザキ</dc:creator>
  <cp:lastModifiedBy>ユウザキ ユウザキ</cp:lastModifiedBy>
  <dcterms:created xsi:type="dcterms:W3CDTF">2025-12-30T17:11:03Z</dcterms:created>
  <dcterms:modified xsi:type="dcterms:W3CDTF">2025-12-30T19:08:16Z</dcterms:modified>
</cp:coreProperties>
</file>